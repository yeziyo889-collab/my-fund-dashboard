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eziy\Downloads\"/>
    </mc:Choice>
  </mc:AlternateContent>
  <xr:revisionPtr revIDLastSave="0" documentId="13_ncr:1_{D7D7E5A2-9700-4D63-9762-C4E73D98F52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交易明细" sheetId="1" r:id="rId1"/>
    <sheet name="字段介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L2" i="1" s="1"/>
  <c r="K10" i="1"/>
  <c r="L10" i="1" s="1"/>
  <c r="K17" i="1"/>
  <c r="L17" i="1" s="1"/>
  <c r="K6" i="1"/>
  <c r="L6" i="1" s="1"/>
  <c r="K14" i="1"/>
  <c r="L14" i="1" s="1"/>
  <c r="K9" i="1"/>
  <c r="L9" i="1" s="1"/>
  <c r="K5" i="1"/>
  <c r="L5" i="1" s="1"/>
  <c r="K16" i="1"/>
  <c r="L16" i="1" s="1"/>
  <c r="K13" i="1"/>
  <c r="L13" i="1" s="1"/>
  <c r="K19" i="1"/>
  <c r="L19" i="1" s="1"/>
  <c r="K8" i="1"/>
  <c r="L8" i="1" s="1"/>
  <c r="K12" i="1"/>
  <c r="L12" i="1" s="1"/>
  <c r="K4" i="1"/>
  <c r="L4" i="1" s="1"/>
  <c r="K7" i="1"/>
  <c r="L7" i="1" s="1"/>
  <c r="K18" i="1"/>
  <c r="L18" i="1" s="1"/>
  <c r="K15" i="1"/>
  <c r="L15" i="1" s="1"/>
  <c r="K3" i="1"/>
  <c r="L3" i="1" s="1"/>
  <c r="K11" i="1"/>
  <c r="L11" i="1" s="1"/>
</calcChain>
</file>

<file path=xl/sharedStrings.xml><?xml version="1.0" encoding="utf-8"?>
<sst xmlns="http://schemas.openxmlformats.org/spreadsheetml/2006/main" count="108" uniqueCount="52">
  <si>
    <t>交易日期</t>
  </si>
  <si>
    <t>月份</t>
  </si>
  <si>
    <t>交易类型</t>
  </si>
  <si>
    <t>基金代码</t>
  </si>
  <si>
    <t>确认份额</t>
  </si>
  <si>
    <t>单位确认净值</t>
  </si>
  <si>
    <t>定投买入</t>
  </si>
  <si>
    <t>011608</t>
  </si>
  <si>
    <t>易方达科创50联接A</t>
  </si>
  <si>
    <t>110026</t>
  </si>
  <si>
    <t>易方达创业板ETF联接A</t>
  </si>
  <si>
    <t>000216</t>
  </si>
  <si>
    <t>华安黄金ETF联接A</t>
  </si>
  <si>
    <t>007028</t>
  </si>
  <si>
    <t>易方达中证500ETF联接A</t>
  </si>
  <si>
    <t>009051</t>
  </si>
  <si>
    <t>易方达中证红利ETF联接A</t>
  </si>
  <si>
    <t>110020</t>
  </si>
  <si>
    <t>易方达沪深300ETF联接A</t>
  </si>
  <si>
    <t>用户卖出</t>
  </si>
  <si>
    <t>用户买入</t>
  </si>
  <si>
    <t>2026-05</t>
  </si>
  <si>
    <t>2026-04</t>
  </si>
  <si>
    <t>2026-03</t>
  </si>
  <si>
    <r>
      <rPr>
        <sz val="11"/>
        <rFont val="微软雅黑"/>
        <family val="2"/>
        <charset val="134"/>
      </rPr>
      <t>易方达沪深</t>
    </r>
    <r>
      <rPr>
        <sz val="11"/>
        <rFont val="Arial"/>
        <family val="2"/>
      </rPr>
      <t>300ETF</t>
    </r>
    <r>
      <rPr>
        <sz val="11"/>
        <rFont val="微软雅黑"/>
        <family val="2"/>
        <charset val="134"/>
      </rPr>
      <t>联接</t>
    </r>
    <r>
      <rPr>
        <sz val="11"/>
        <rFont val="Arial"/>
        <family val="2"/>
      </rPr>
      <t>A</t>
    </r>
    <phoneticPr fontId="3" type="noConversion"/>
  </si>
  <si>
    <r>
      <rPr>
        <sz val="11"/>
        <rFont val="微软雅黑"/>
        <family val="2"/>
        <charset val="134"/>
      </rPr>
      <t>易方达科创</t>
    </r>
    <r>
      <rPr>
        <sz val="11"/>
        <rFont val="Arial"/>
        <family val="2"/>
      </rPr>
      <t>50</t>
    </r>
    <r>
      <rPr>
        <sz val="11"/>
        <rFont val="微软雅黑"/>
        <family val="2"/>
        <charset val="134"/>
      </rPr>
      <t>联接</t>
    </r>
    <r>
      <rPr>
        <sz val="11"/>
        <rFont val="Arial"/>
        <family val="2"/>
      </rPr>
      <t>A</t>
    </r>
    <phoneticPr fontId="3" type="noConversion"/>
  </si>
  <si>
    <t>列1</t>
    <phoneticPr fontId="3" type="noConversion"/>
  </si>
  <si>
    <t>交易日期</t>
    <phoneticPr fontId="3" type="noConversion"/>
  </si>
  <si>
    <t>格式按照年/月</t>
    <phoneticPr fontId="3" type="noConversion"/>
  </si>
  <si>
    <t>交易类型</t>
    <phoneticPr fontId="3" type="noConversion"/>
  </si>
  <si>
    <t>定投买入，每个月10号执行自动定投买入，遇到非交易日则延后到交易日买日；手动买入；手动卖出（需要统计这笔卖出的已实现盈亏，卖出实际到账金额 - 卖出份额对应成本）</t>
    <phoneticPr fontId="3" type="noConversion"/>
  </si>
  <si>
    <t>基金代码</t>
    <phoneticPr fontId="3" type="noConversion"/>
  </si>
  <si>
    <t>基金名称</t>
    <phoneticPr fontId="3" type="noConversion"/>
  </si>
  <si>
    <t>申请金额</t>
    <phoneticPr fontId="3" type="noConversion"/>
  </si>
  <si>
    <t>申请份额</t>
    <phoneticPr fontId="3" type="noConversion"/>
  </si>
  <si>
    <t>确认金额</t>
    <phoneticPr fontId="3" type="noConversion"/>
  </si>
  <si>
    <t>买入方向，是每次买入时的申购金额，包括定投买入与手动买入；
卖出方向，是每次申请卖出份额时，根据基金官方交易日已确认的净值与基金的卖出费率规则加一计算，申请卖出的份额*基金净值*（1-基金卖出费率）
买入方向是正数，卖出方向是负数</t>
    <phoneticPr fontId="3" type="noConversion"/>
  </si>
  <si>
    <t>买入方向，每次申请买入时，根据交易日已确认的净值与基金的买入费率规则加一计算，申购金额*（1-基金买入费率）/基金官方交易日已确认的净值
卖出方向，每次手动卖出时申请卖出的份额
买入方向是正数，卖出方向是负数</t>
    <phoneticPr fontId="3" type="noConversion"/>
  </si>
  <si>
    <t>手续费</t>
    <phoneticPr fontId="3" type="noConversion"/>
  </si>
  <si>
    <t>根据基金的买入/卖出费率进行计算</t>
    <phoneticPr fontId="3" type="noConversion"/>
  </si>
  <si>
    <t>基金净值</t>
    <phoneticPr fontId="3" type="noConversion"/>
  </si>
  <si>
    <t>交易日基金官方已确认的净值</t>
    <phoneticPr fontId="3" type="noConversion"/>
  </si>
  <si>
    <t>目标价值</t>
    <phoneticPr fontId="3" type="noConversion"/>
  </si>
  <si>
    <t>区分定投买入与手动买入
定投的频率是固定的，定投买入的目标价值是每次买入的金额*期望的月度复利利率，具体如下：
华安黄金ETF联接A，期望年化收益率5%。
易方达创业板ETF联接A，期望年化收益率10%
易方达沪深300ETF联接A，期望年化收益率8%
易方达科创50联接A，期望年化收益率10%
易方达中证500ETF联接A，期望年化收益率9%
易方达中证红利ETF联接A，期望年化收益率7%
手动买入的频率是不固定的，期望的月度复利利率是固定买入的2倍</t>
    <phoneticPr fontId="3" type="noConversion"/>
  </si>
  <si>
    <t>目标价值与实际价值的差额</t>
    <phoneticPr fontId="3" type="noConversion"/>
  </si>
  <si>
    <t>实际价值是基金持有份额*持仓成本价，持仓成本价是累计实际买入金额/当前累计持有份额</t>
    <phoneticPr fontId="3" type="noConversion"/>
  </si>
  <si>
    <t>实际价值权重占比</t>
    <phoneticPr fontId="3" type="noConversion"/>
  </si>
  <si>
    <t>某支基金的实际价值/全部基金的实际价值</t>
    <phoneticPr fontId="3" type="noConversion"/>
  </si>
  <si>
    <t>预期仓位权重占比</t>
    <phoneticPr fontId="3" type="noConversion"/>
  </si>
  <si>
    <t>按照月度定投计划，某只基金的月度定投买入金额/全部基金的月度定投买入金额</t>
    <phoneticPr fontId="3" type="noConversion"/>
  </si>
  <si>
    <t>项目</t>
    <phoneticPr fontId="3" type="noConversion"/>
  </si>
  <si>
    <t>定义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</si>
</sst>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9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  <font>
      <sz val="11"/>
      <name val="幼圆"/>
      <family val="3"/>
      <charset val="134"/>
    </font>
    <font>
      <b/>
      <sz val="11"/>
      <color rgb="FFFFFF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4" fontId="0" fillId="0" borderId="0" xfId="1" applyNumberFormat="1" applyFont="1" applyAlignment="1">
      <alignment wrapText="1"/>
    </xf>
    <xf numFmtId="176" fontId="0" fillId="0" borderId="0" xfId="1" applyNumberFormat="1" applyFont="1" applyAlignment="1">
      <alignment wrapText="1"/>
    </xf>
    <xf numFmtId="14" fontId="0" fillId="0" borderId="0" xfId="1" applyNumberFormat="1" applyFont="1" applyAlignment="1">
      <alignment wrapText="1"/>
    </xf>
    <xf numFmtId="14" fontId="1" fillId="2" borderId="0" xfId="1" applyNumberFormat="1" applyFont="1" applyFill="1" applyAlignment="1">
      <alignment horizontal="center" vertical="center" wrapText="1"/>
    </xf>
    <xf numFmtId="14" fontId="0" fillId="0" borderId="0" xfId="0" applyNumberFormat="1"/>
    <xf numFmtId="4" fontId="0" fillId="0" borderId="0" xfId="0" applyNumberFormat="1"/>
    <xf numFmtId="0" fontId="6" fillId="0" borderId="0" xfId="1" applyFont="1" applyAlignment="1">
      <alignment wrapText="1"/>
    </xf>
    <xf numFmtId="0" fontId="7" fillId="0" borderId="0" xfId="0" applyFont="1"/>
    <xf numFmtId="0" fontId="8" fillId="2" borderId="0" xfId="1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</cellXfs>
  <cellStyles count="2">
    <cellStyle name="Normal" xfId="1" xr:uid="{00000000-0005-0000-0000-000000000000}"/>
    <cellStyle name="常规" xfId="0" builtinId="0"/>
  </cellStyles>
  <dxfs count="2"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Table" displayName="TransactionsTable" ref="A1:L19">
  <autoFilter ref="A1:L19" xr:uid="{00000000-000C-0000-FFFF-FFFF00000000}"/>
  <sortState xmlns:xlrd2="http://schemas.microsoft.com/office/spreadsheetml/2017/richdata2" ref="A2:K19">
    <sortCondition ref="E1:E19"/>
  </sortState>
  <tableColumns count="12">
    <tableColumn id="4" xr3:uid="{00000000-0010-0000-0000-000004000000}" name="交易日期" dataDxfId="1"/>
    <tableColumn id="5" xr3:uid="{00000000-0010-0000-0000-000005000000}" name="月份"/>
    <tableColumn id="6" xr3:uid="{00000000-0010-0000-0000-000006000000}" name="交易类型"/>
    <tableColumn id="8" xr3:uid="{00000000-0010-0000-0000-000008000000}" name="基金代码"/>
    <tableColumn id="9" xr3:uid="{00000000-0010-0000-0000-000009000000}" name="基金名称"/>
    <tableColumn id="11" xr3:uid="{00000000-0010-0000-0000-00000B000000}" name="申请金额"/>
    <tableColumn id="12" xr3:uid="{00000000-0010-0000-0000-00000C000000}" name="申请份额"/>
    <tableColumn id="13" xr3:uid="{00000000-0010-0000-0000-00000D000000}" name="确认金额"/>
    <tableColumn id="14" xr3:uid="{00000000-0010-0000-0000-00000E000000}" name="确认份额"/>
    <tableColumn id="15" xr3:uid="{00000000-0010-0000-0000-00000F000000}" name="手续费"/>
    <tableColumn id="16" xr3:uid="{00000000-0010-0000-0000-000010000000}" name="单位确认净值"/>
    <tableColumn id="1" xr3:uid="{833CC431-FA61-4C72-B158-477FAA36947E}" name="列1" dataDxfId="0">
      <calculatedColumnFormula>TransactionsTable[[#This Row],[确认份额]]*TransactionsTable[[#This Row],[单位确认净值]]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workbookViewId="0">
      <selection activeCell="K1" sqref="K1"/>
    </sheetView>
  </sheetViews>
  <sheetFormatPr defaultRowHeight="14"/>
  <cols>
    <col min="1" max="1" width="12.6640625" style="7" bestFit="1" customWidth="1"/>
    <col min="2" max="3" width="12" customWidth="1"/>
    <col min="4" max="4" width="10" customWidth="1"/>
    <col min="5" max="5" width="28" customWidth="1"/>
    <col min="6" max="7" width="12.6640625" bestFit="1" customWidth="1"/>
    <col min="8" max="11" width="12" customWidth="1"/>
  </cols>
  <sheetData>
    <row r="1" spans="1:12" ht="16.5">
      <c r="A1" s="6" t="s">
        <v>0</v>
      </c>
      <c r="B1" s="1" t="s">
        <v>1</v>
      </c>
      <c r="C1" s="1" t="s">
        <v>2</v>
      </c>
      <c r="D1" s="1" t="s">
        <v>3</v>
      </c>
      <c r="E1" s="11" t="s">
        <v>32</v>
      </c>
      <c r="F1" s="11" t="s">
        <v>33</v>
      </c>
      <c r="G1" s="11" t="s">
        <v>34</v>
      </c>
      <c r="H1" s="11" t="s">
        <v>35</v>
      </c>
      <c r="I1" s="1" t="s">
        <v>4</v>
      </c>
      <c r="J1" s="11" t="s">
        <v>38</v>
      </c>
      <c r="K1" s="1" t="s">
        <v>5</v>
      </c>
      <c r="L1" t="s">
        <v>26</v>
      </c>
    </row>
    <row r="2" spans="1:12">
      <c r="A2" s="5">
        <v>46154</v>
      </c>
      <c r="B2" s="2" t="s">
        <v>21</v>
      </c>
      <c r="C2" s="2" t="s">
        <v>6</v>
      </c>
      <c r="D2" s="2" t="s">
        <v>11</v>
      </c>
      <c r="E2" s="2" t="s">
        <v>12</v>
      </c>
      <c r="F2" s="3">
        <v>500</v>
      </c>
      <c r="G2" s="3"/>
      <c r="H2" s="3">
        <v>500</v>
      </c>
      <c r="I2" s="3">
        <v>140.07</v>
      </c>
      <c r="J2" s="3">
        <v>0.3</v>
      </c>
      <c r="K2" s="4">
        <f t="shared" ref="K2:K19" si="0">IFERROR(H2/I2,"")</f>
        <v>3.5696437495537947</v>
      </c>
      <c r="L2">
        <f>TransactionsTable[[#This Row],[确认份额]]*TransactionsTable[[#This Row],[单位确认净值]]</f>
        <v>500</v>
      </c>
    </row>
    <row r="3" spans="1:12">
      <c r="A3" s="5">
        <v>46160</v>
      </c>
      <c r="B3" s="2" t="s">
        <v>21</v>
      </c>
      <c r="C3" s="2" t="s">
        <v>6</v>
      </c>
      <c r="D3" s="2" t="s">
        <v>9</v>
      </c>
      <c r="E3" s="2" t="s">
        <v>10</v>
      </c>
      <c r="F3" s="3">
        <v>1500</v>
      </c>
      <c r="G3" s="3"/>
      <c r="H3" s="3">
        <v>1500</v>
      </c>
      <c r="I3" s="3">
        <v>376.45</v>
      </c>
      <c r="J3" s="3">
        <v>1.8</v>
      </c>
      <c r="K3" s="4">
        <f t="shared" si="0"/>
        <v>3.9845929074246249</v>
      </c>
      <c r="L3">
        <f>TransactionsTable[[#This Row],[确认份额]]*TransactionsTable[[#This Row],[单位确认净值]]</f>
        <v>1500</v>
      </c>
    </row>
    <row r="4" spans="1:12">
      <c r="A4" s="5">
        <v>46148</v>
      </c>
      <c r="B4" s="2" t="s">
        <v>21</v>
      </c>
      <c r="C4" s="2" t="s">
        <v>19</v>
      </c>
      <c r="D4" s="2" t="s">
        <v>9</v>
      </c>
      <c r="E4" s="2" t="s">
        <v>10</v>
      </c>
      <c r="F4" s="3">
        <v>0</v>
      </c>
      <c r="G4" s="3">
        <v>51.42</v>
      </c>
      <c r="H4" s="3">
        <v>197.61</v>
      </c>
      <c r="I4" s="3">
        <v>51.42</v>
      </c>
      <c r="J4" s="3">
        <v>0.2</v>
      </c>
      <c r="K4" s="4">
        <f t="shared" si="0"/>
        <v>3.8430571761960328</v>
      </c>
      <c r="L4">
        <f>TransactionsTable[[#This Row],[确认份额]]*TransactionsTable[[#This Row],[单位确认净值]]</f>
        <v>197.61</v>
      </c>
    </row>
    <row r="5" spans="1:12">
      <c r="A5" s="5">
        <v>46127</v>
      </c>
      <c r="B5" s="2" t="s">
        <v>22</v>
      </c>
      <c r="C5" s="2" t="s">
        <v>6</v>
      </c>
      <c r="D5" s="2" t="s">
        <v>9</v>
      </c>
      <c r="E5" s="2" t="s">
        <v>10</v>
      </c>
      <c r="F5" s="3">
        <v>900</v>
      </c>
      <c r="G5" s="3"/>
      <c r="H5" s="3">
        <v>900</v>
      </c>
      <c r="I5" s="3">
        <v>251.45</v>
      </c>
      <c r="J5" s="3">
        <v>1.08</v>
      </c>
      <c r="K5" s="4">
        <f t="shared" si="0"/>
        <v>3.579240405647246</v>
      </c>
      <c r="L5">
        <f>TransactionsTable[[#This Row],[确认份额]]*TransactionsTable[[#This Row],[单位确认净值]]</f>
        <v>900</v>
      </c>
    </row>
    <row r="6" spans="1:12">
      <c r="A6" s="5">
        <v>46097</v>
      </c>
      <c r="B6" s="2" t="s">
        <v>23</v>
      </c>
      <c r="C6" s="2" t="s">
        <v>6</v>
      </c>
      <c r="D6" s="2" t="s">
        <v>9</v>
      </c>
      <c r="E6" s="2" t="s">
        <v>10</v>
      </c>
      <c r="F6" s="3">
        <v>900</v>
      </c>
      <c r="G6" s="3"/>
      <c r="H6" s="3">
        <v>900</v>
      </c>
      <c r="I6" s="3">
        <v>262.8</v>
      </c>
      <c r="J6" s="3">
        <v>1.08</v>
      </c>
      <c r="K6" s="4">
        <f t="shared" si="0"/>
        <v>3.4246575342465753</v>
      </c>
      <c r="L6">
        <f>TransactionsTable[[#This Row],[确认份额]]*TransactionsTable[[#This Row],[单位确认净值]]</f>
        <v>900</v>
      </c>
    </row>
    <row r="7" spans="1:12" ht="16.5">
      <c r="A7" s="5">
        <v>46150</v>
      </c>
      <c r="B7" s="2" t="s">
        <v>21</v>
      </c>
      <c r="C7" s="2" t="s">
        <v>6</v>
      </c>
      <c r="D7" s="2" t="s">
        <v>17</v>
      </c>
      <c r="E7" s="9" t="s">
        <v>24</v>
      </c>
      <c r="F7" s="3">
        <v>1000</v>
      </c>
      <c r="G7" s="3"/>
      <c r="H7" s="3">
        <v>1000</v>
      </c>
      <c r="I7" s="3">
        <v>509.7</v>
      </c>
      <c r="J7" s="3">
        <v>1.2</v>
      </c>
      <c r="K7" s="4">
        <f t="shared" si="0"/>
        <v>1.9619383951343927</v>
      </c>
      <c r="L7">
        <f>TransactionsTable[[#This Row],[确认份额]]*TransactionsTable[[#This Row],[单位确认净值]]</f>
        <v>1000</v>
      </c>
    </row>
    <row r="8" spans="1:12">
      <c r="A8" s="5">
        <v>46136</v>
      </c>
      <c r="B8" s="2" t="s">
        <v>22</v>
      </c>
      <c r="C8" s="2" t="s">
        <v>20</v>
      </c>
      <c r="D8" s="2" t="s">
        <v>17</v>
      </c>
      <c r="E8" s="2" t="s">
        <v>18</v>
      </c>
      <c r="F8" s="3">
        <v>1000</v>
      </c>
      <c r="G8" s="3"/>
      <c r="H8" s="3">
        <v>1000</v>
      </c>
      <c r="I8" s="3">
        <v>520.45000000000005</v>
      </c>
      <c r="J8" s="3">
        <v>1.2</v>
      </c>
      <c r="K8" s="4">
        <f t="shared" si="0"/>
        <v>1.9214141608223652</v>
      </c>
      <c r="L8">
        <f>TransactionsTable[[#This Row],[确认份额]]*TransactionsTable[[#This Row],[单位确认净值]]</f>
        <v>1000</v>
      </c>
    </row>
    <row r="9" spans="1:12">
      <c r="A9" s="5">
        <v>46122</v>
      </c>
      <c r="B9" s="2" t="s">
        <v>22</v>
      </c>
      <c r="C9" s="2" t="s">
        <v>6</v>
      </c>
      <c r="D9" s="2" t="s">
        <v>17</v>
      </c>
      <c r="E9" s="2" t="s">
        <v>18</v>
      </c>
      <c r="F9" s="3">
        <v>300</v>
      </c>
      <c r="G9" s="3"/>
      <c r="H9" s="3">
        <v>300</v>
      </c>
      <c r="I9" s="3">
        <v>160.59</v>
      </c>
      <c r="J9" s="3">
        <v>0.36</v>
      </c>
      <c r="K9" s="4">
        <f t="shared" si="0"/>
        <v>1.8681113394358304</v>
      </c>
      <c r="L9">
        <f>TransactionsTable[[#This Row],[确认份额]]*TransactionsTable[[#This Row],[单位确认净值]]</f>
        <v>300</v>
      </c>
    </row>
    <row r="10" spans="1:12">
      <c r="A10" s="5">
        <v>46091</v>
      </c>
      <c r="B10" s="2" t="s">
        <v>23</v>
      </c>
      <c r="C10" s="2" t="s">
        <v>6</v>
      </c>
      <c r="D10" s="2" t="s">
        <v>17</v>
      </c>
      <c r="E10" s="2" t="s">
        <v>18</v>
      </c>
      <c r="F10" s="3">
        <v>300</v>
      </c>
      <c r="G10" s="3"/>
      <c r="H10" s="3">
        <v>300</v>
      </c>
      <c r="I10" s="3">
        <v>159.38</v>
      </c>
      <c r="J10" s="3">
        <v>0.36</v>
      </c>
      <c r="K10" s="4">
        <f t="shared" si="0"/>
        <v>1.8822938888191743</v>
      </c>
      <c r="L10">
        <f>TransactionsTable[[#This Row],[确认份额]]*TransactionsTable[[#This Row],[单位确认净值]]</f>
        <v>300</v>
      </c>
    </row>
    <row r="11" spans="1:12" ht="16.5">
      <c r="A11" s="5">
        <v>46160</v>
      </c>
      <c r="B11" s="2" t="s">
        <v>21</v>
      </c>
      <c r="C11" s="2" t="s">
        <v>6</v>
      </c>
      <c r="D11" s="2" t="s">
        <v>7</v>
      </c>
      <c r="E11" s="9" t="s">
        <v>25</v>
      </c>
      <c r="F11" s="3">
        <v>1500</v>
      </c>
      <c r="G11" s="3"/>
      <c r="H11" s="3">
        <v>1500</v>
      </c>
      <c r="I11" s="3">
        <v>1142.52</v>
      </c>
      <c r="J11" s="3">
        <v>0.9</v>
      </c>
      <c r="K11" s="4">
        <f t="shared" si="0"/>
        <v>1.3128873017540175</v>
      </c>
      <c r="L11">
        <f>TransactionsTable[[#This Row],[确认份额]]*TransactionsTable[[#This Row],[单位确认净值]]</f>
        <v>1500</v>
      </c>
    </row>
    <row r="12" spans="1:12">
      <c r="A12" s="5">
        <v>46148</v>
      </c>
      <c r="B12" s="2" t="s">
        <v>21</v>
      </c>
      <c r="C12" s="2" t="s">
        <v>19</v>
      </c>
      <c r="D12" s="2" t="s">
        <v>7</v>
      </c>
      <c r="E12" s="2" t="s">
        <v>8</v>
      </c>
      <c r="F12" s="3">
        <v>0</v>
      </c>
      <c r="G12" s="3">
        <v>449.3</v>
      </c>
      <c r="H12" s="3">
        <v>571.48</v>
      </c>
      <c r="I12" s="3">
        <v>449.3</v>
      </c>
      <c r="J12" s="3">
        <v>0.56999999999999995</v>
      </c>
      <c r="K12" s="4">
        <f t="shared" si="0"/>
        <v>1.2719341197418206</v>
      </c>
      <c r="L12">
        <f>TransactionsTable[[#This Row],[确认份额]]*TransactionsTable[[#This Row],[单位确认净值]]</f>
        <v>571.48</v>
      </c>
    </row>
    <row r="13" spans="1:12">
      <c r="A13" s="5">
        <v>46132</v>
      </c>
      <c r="B13" s="2" t="s">
        <v>22</v>
      </c>
      <c r="C13" s="2" t="s">
        <v>6</v>
      </c>
      <c r="D13" s="2" t="s">
        <v>7</v>
      </c>
      <c r="E13" s="2" t="s">
        <v>8</v>
      </c>
      <c r="F13" s="3">
        <v>1200</v>
      </c>
      <c r="G13" s="3"/>
      <c r="H13" s="3">
        <v>1200</v>
      </c>
      <c r="I13" s="3">
        <v>1072.03</v>
      </c>
      <c r="J13" s="3">
        <v>0.72</v>
      </c>
      <c r="K13" s="4">
        <f t="shared" si="0"/>
        <v>1.1193716593752041</v>
      </c>
      <c r="L13">
        <f>TransactionsTable[[#This Row],[确认份额]]*TransactionsTable[[#This Row],[单位确认净值]]</f>
        <v>1200</v>
      </c>
    </row>
    <row r="14" spans="1:12">
      <c r="A14" s="5">
        <v>46101</v>
      </c>
      <c r="B14" s="2" t="s">
        <v>23</v>
      </c>
      <c r="C14" s="2" t="s">
        <v>6</v>
      </c>
      <c r="D14" s="2" t="s">
        <v>7</v>
      </c>
      <c r="E14" s="2" t="s">
        <v>8</v>
      </c>
      <c r="F14" s="3">
        <v>1200</v>
      </c>
      <c r="G14" s="3"/>
      <c r="H14" s="3">
        <v>1200</v>
      </c>
      <c r="I14" s="3">
        <v>1174.5</v>
      </c>
      <c r="J14" s="3">
        <v>0.72</v>
      </c>
      <c r="K14" s="4">
        <f t="shared" si="0"/>
        <v>1.0217113665389528</v>
      </c>
      <c r="L14">
        <f>TransactionsTable[[#This Row],[确认份额]]*TransactionsTable[[#This Row],[单位确认净值]]</f>
        <v>1200</v>
      </c>
    </row>
    <row r="15" spans="1:12">
      <c r="A15" s="5">
        <v>46154</v>
      </c>
      <c r="B15" s="2" t="s">
        <v>21</v>
      </c>
      <c r="C15" s="2" t="s">
        <v>6</v>
      </c>
      <c r="D15" s="2" t="s">
        <v>13</v>
      </c>
      <c r="E15" s="2" t="s">
        <v>14</v>
      </c>
      <c r="F15" s="3">
        <v>1500</v>
      </c>
      <c r="G15" s="3"/>
      <c r="H15" s="3">
        <v>1500</v>
      </c>
      <c r="I15" s="3">
        <v>721.56</v>
      </c>
      <c r="J15" s="3">
        <v>0.75</v>
      </c>
      <c r="K15" s="4">
        <f t="shared" si="0"/>
        <v>2.0788292033926492</v>
      </c>
      <c r="L15">
        <f>TransactionsTable[[#This Row],[确认份额]]*TransactionsTable[[#This Row],[单位确认净值]]</f>
        <v>1499.9999999999998</v>
      </c>
    </row>
    <row r="16" spans="1:12">
      <c r="A16" s="5">
        <v>46127</v>
      </c>
      <c r="B16" s="2" t="s">
        <v>22</v>
      </c>
      <c r="C16" s="2" t="s">
        <v>6</v>
      </c>
      <c r="D16" s="2" t="s">
        <v>13</v>
      </c>
      <c r="E16" s="2" t="s">
        <v>14</v>
      </c>
      <c r="F16" s="3">
        <v>600</v>
      </c>
      <c r="G16" s="3"/>
      <c r="H16" s="3">
        <v>600</v>
      </c>
      <c r="I16" s="3">
        <v>314.72000000000003</v>
      </c>
      <c r="J16" s="3">
        <v>0.3</v>
      </c>
      <c r="K16" s="4">
        <f t="shared" si="0"/>
        <v>1.9064565327910521</v>
      </c>
      <c r="L16">
        <f>TransactionsTable[[#This Row],[确认份额]]*TransactionsTable[[#This Row],[单位确认净值]]</f>
        <v>600</v>
      </c>
    </row>
    <row r="17" spans="1:12">
      <c r="A17" s="5">
        <v>46097</v>
      </c>
      <c r="B17" s="2" t="s">
        <v>23</v>
      </c>
      <c r="C17" s="2" t="s">
        <v>6</v>
      </c>
      <c r="D17" s="2" t="s">
        <v>13</v>
      </c>
      <c r="E17" s="2" t="s">
        <v>14</v>
      </c>
      <c r="F17" s="3">
        <v>600</v>
      </c>
      <c r="G17" s="3"/>
      <c r="H17" s="3">
        <v>600</v>
      </c>
      <c r="I17" s="3">
        <v>309.91000000000003</v>
      </c>
      <c r="J17" s="3">
        <v>0.3</v>
      </c>
      <c r="K17" s="4">
        <f t="shared" si="0"/>
        <v>1.9360459488238519</v>
      </c>
      <c r="L17">
        <f>TransactionsTable[[#This Row],[确认份额]]*TransactionsTable[[#This Row],[单位确认净值]]</f>
        <v>600</v>
      </c>
    </row>
    <row r="18" spans="1:12">
      <c r="A18" s="5">
        <v>46150</v>
      </c>
      <c r="B18" s="2" t="s">
        <v>21</v>
      </c>
      <c r="C18" s="2" t="s">
        <v>6</v>
      </c>
      <c r="D18" s="2" t="s">
        <v>15</v>
      </c>
      <c r="E18" s="2" t="s">
        <v>16</v>
      </c>
      <c r="F18" s="3">
        <v>500</v>
      </c>
      <c r="G18" s="3"/>
      <c r="H18" s="3">
        <v>500</v>
      </c>
      <c r="I18" s="3">
        <v>385.21</v>
      </c>
      <c r="J18" s="3">
        <v>0.3</v>
      </c>
      <c r="K18" s="4">
        <f t="shared" si="0"/>
        <v>1.29799330235456</v>
      </c>
      <c r="L18">
        <f>TransactionsTable[[#This Row],[确认份额]]*TransactionsTable[[#This Row],[单位确认净值]]</f>
        <v>500.00000000000006</v>
      </c>
    </row>
    <row r="19" spans="1:12">
      <c r="A19" s="5">
        <v>46135</v>
      </c>
      <c r="B19" s="2" t="s">
        <v>22</v>
      </c>
      <c r="C19" s="2" t="s">
        <v>20</v>
      </c>
      <c r="D19" s="2" t="s">
        <v>15</v>
      </c>
      <c r="E19" s="2" t="s">
        <v>16</v>
      </c>
      <c r="F19" s="3">
        <v>2000</v>
      </c>
      <c r="G19" s="3"/>
      <c r="H19" s="3">
        <v>2000</v>
      </c>
      <c r="I19" s="3">
        <v>1539.43</v>
      </c>
      <c r="J19" s="3">
        <v>1.2</v>
      </c>
      <c r="K19" s="4">
        <f t="shared" si="0"/>
        <v>1.2991821648272412</v>
      </c>
      <c r="L19">
        <f>TransactionsTable[[#This Row],[确认份额]]*TransactionsTable[[#This Row],[单位确认净值]]</f>
        <v>2000</v>
      </c>
    </row>
    <row r="23" spans="1:12">
      <c r="I23" s="8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F9D9-DC19-4D24-B6D8-97F95C13430C}">
  <dimension ref="A1:B13"/>
  <sheetViews>
    <sheetView tabSelected="1" zoomScale="160" zoomScaleNormal="160" workbookViewId="0">
      <selection activeCell="B6" sqref="B6"/>
    </sheetView>
  </sheetViews>
  <sheetFormatPr defaultRowHeight="13"/>
  <cols>
    <col min="1" max="1" width="24.1640625" style="13" bestFit="1" customWidth="1"/>
    <col min="2" max="2" width="100.75" style="12" customWidth="1"/>
    <col min="3" max="16384" width="8.6640625" style="10"/>
  </cols>
  <sheetData>
    <row r="1" spans="1:2">
      <c r="A1" s="13" t="s">
        <v>50</v>
      </c>
      <c r="B1" s="12" t="s">
        <v>51</v>
      </c>
    </row>
    <row r="2" spans="1:2">
      <c r="A2" s="13" t="s">
        <v>27</v>
      </c>
      <c r="B2" s="12" t="s">
        <v>28</v>
      </c>
    </row>
    <row r="3" spans="1:2" ht="26">
      <c r="A3" s="13" t="s">
        <v>29</v>
      </c>
      <c r="B3" s="12" t="s">
        <v>30</v>
      </c>
    </row>
    <row r="4" spans="1:2">
      <c r="A4" s="13" t="s">
        <v>31</v>
      </c>
    </row>
    <row r="5" spans="1:2">
      <c r="A5" s="13" t="s">
        <v>32</v>
      </c>
    </row>
    <row r="6" spans="1:2" ht="52">
      <c r="A6" s="13" t="s">
        <v>33</v>
      </c>
      <c r="B6" s="12" t="s">
        <v>36</v>
      </c>
    </row>
    <row r="7" spans="1:2" ht="52">
      <c r="A7" s="13" t="s">
        <v>34</v>
      </c>
      <c r="B7" s="12" t="s">
        <v>37</v>
      </c>
    </row>
    <row r="8" spans="1:2">
      <c r="A8" s="13" t="s">
        <v>38</v>
      </c>
      <c r="B8" s="12" t="s">
        <v>39</v>
      </c>
    </row>
    <row r="9" spans="1:2">
      <c r="A9" s="13" t="s">
        <v>40</v>
      </c>
      <c r="B9" s="12" t="s">
        <v>41</v>
      </c>
    </row>
    <row r="10" spans="1:2" ht="117">
      <c r="A10" s="13" t="s">
        <v>42</v>
      </c>
      <c r="B10" s="12" t="s">
        <v>43</v>
      </c>
    </row>
    <row r="11" spans="1:2">
      <c r="A11" s="13" t="s">
        <v>44</v>
      </c>
      <c r="B11" s="12" t="s">
        <v>45</v>
      </c>
    </row>
    <row r="12" spans="1:2">
      <c r="A12" s="13" t="s">
        <v>46</v>
      </c>
      <c r="B12" s="12" t="s">
        <v>47</v>
      </c>
    </row>
    <row r="13" spans="1:2">
      <c r="A13" s="13" t="s">
        <v>48</v>
      </c>
      <c r="B13" s="12" t="s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交易明细</vt:lpstr>
      <vt:lpstr>字段介绍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RUISEN YAN</cp:lastModifiedBy>
  <dcterms:modified xsi:type="dcterms:W3CDTF">2026-06-04T17:41:45Z</dcterms:modified>
</cp:coreProperties>
</file>